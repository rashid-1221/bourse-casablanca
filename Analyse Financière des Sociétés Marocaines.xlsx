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e Financière des Sociétés" sheetId="1" r:id="rId5"/>
  </sheets>
  <definedNames/>
  <calcPr/>
</workbook>
</file>

<file path=xl/sharedStrings.xml><?xml version="1.0" encoding="utf-8"?>
<sst xmlns="http://schemas.openxmlformats.org/spreadsheetml/2006/main" count="589" uniqueCount="228">
  <si>
    <t>Société / Secteur</t>
  </si>
  <si>
    <t>Année</t>
  </si>
  <si>
    <t>Croissance CA (%)</t>
  </si>
  <si>
    <t>Résultat Net (M MAD)</t>
  </si>
  <si>
    <t>Endettement (Gearing / Solvabilité)</t>
  </si>
  <si>
    <t>BCP</t>
  </si>
  <si>
    <t>+10,2% (PNB)</t>
  </si>
  <si>
    <t>Conforme (Bâle III)</t>
  </si>
  <si>
    <t>(Banque)</t>
  </si>
  <si>
    <t>2024 (P)</t>
  </si>
  <si>
    <t>+6,5%</t>
  </si>
  <si>
    <t>Solide</t>
  </si>
  <si>
    <t>2025 (P)</t>
  </si>
  <si>
    <t>+7,0%</t>
  </si>
  <si>
    <t>Akdital</t>
  </si>
  <si>
    <t>+84,0%</t>
  </si>
  <si>
    <t>Élevé (Investissements)</t>
  </si>
  <si>
    <t>(Santé)</t>
  </si>
  <si>
    <t>+45,0%</t>
  </si>
  <si>
    <t>Maîtrisé</t>
  </si>
  <si>
    <t>+35,0%</t>
  </si>
  <si>
    <t>En amélioration</t>
  </si>
  <si>
    <t>Marsa Maroc</t>
  </si>
  <si>
    <t>+9,4%</t>
  </si>
  <si>
    <t>Excédentaire (Trésorerie nette)</t>
  </si>
  <si>
    <t>(Ports)</t>
  </si>
  <si>
    <t>+7,8%</t>
  </si>
  <si>
    <t>Très Faible</t>
  </si>
  <si>
    <t>+8,2%</t>
  </si>
  <si>
    <t>Cosumar</t>
  </si>
  <si>
    <t>+0,5%</t>
  </si>
  <si>
    <t>Modéré</t>
  </si>
  <si>
    <t>(Agroalimentaire)</t>
  </si>
  <si>
    <t>+3,0%</t>
  </si>
  <si>
    <t>Stable</t>
  </si>
  <si>
    <t>+4,0%</t>
  </si>
  <si>
    <t>Désendettement</t>
  </si>
  <si>
    <t>TotalEnergies Mar.</t>
  </si>
  <si>
    <t>Faible</t>
  </si>
  <si>
    <t>(Énergie/Carburants)</t>
  </si>
  <si>
    <t>+3,5%</t>
  </si>
  <si>
    <t>+4,2%</t>
  </si>
  <si>
    <t>Ciments du Maroc</t>
  </si>
  <si>
    <t>+1,8%</t>
  </si>
  <si>
    <t>Trésorerie positive</t>
  </si>
  <si>
    <t>(Matériaux)</t>
  </si>
  <si>
    <t>Nul (Excédentaire)</t>
  </si>
  <si>
    <t>+5,5%</t>
  </si>
  <si>
    <t>Douja Prom Addoha</t>
  </si>
  <si>
    <t>+18,0%</t>
  </si>
  <si>
    <t>En réduction</t>
  </si>
  <si>
    <t>(Immobilier)</t>
  </si>
  <si>
    <t>+12,0%</t>
  </si>
  <si>
    <t>+15,0%</t>
  </si>
  <si>
    <t>Sodep-Marsa Maroc</t>
  </si>
  <si>
    <t>Excellent</t>
  </si>
  <si>
    <t>(Logistique)</t>
  </si>
  <si>
    <t>+8,0%</t>
  </si>
  <si>
    <t>+8,5%</t>
  </si>
  <si>
    <t>Trésorerie nette</t>
  </si>
  <si>
    <t>Snep</t>
  </si>
  <si>
    <t>-40 (Perte)</t>
  </si>
  <si>
    <t>Élevé</t>
  </si>
  <si>
    <t>(Chimie)</t>
  </si>
  <si>
    <t>Sous surveillance</t>
  </si>
  <si>
    <t>+20,0%</t>
  </si>
  <si>
    <t>En optimisation</t>
  </si>
  <si>
    <t>Wafa Assurance</t>
  </si>
  <si>
    <t>+9,2%</t>
  </si>
  <si>
    <t>Excellent (Marge solvabilité)</t>
  </si>
  <si>
    <t>(Assurances)</t>
  </si>
  <si>
    <t>Très Solide</t>
  </si>
  <si>
    <t>HPS</t>
  </si>
  <si>
    <t>+20,5%</t>
  </si>
  <si>
    <t>(Technologie)</t>
  </si>
  <si>
    <t>Nul (Cash-flow positif)</t>
  </si>
  <si>
    <t>+22,0%</t>
  </si>
  <si>
    <t>Auto Hall</t>
  </si>
  <si>
    <t>(Automobile)</t>
  </si>
  <si>
    <t>+10,0%</t>
  </si>
  <si>
    <t>En baisse</t>
  </si>
  <si>
    <t>Mutandis</t>
  </si>
  <si>
    <t>+21,0%</t>
  </si>
  <si>
    <t>Élevé (Acquisitions)</t>
  </si>
  <si>
    <t>(Consommation)</t>
  </si>
  <si>
    <t>Alliances</t>
  </si>
  <si>
    <t>+25,0%</t>
  </si>
  <si>
    <t>En fort désendettement</t>
  </si>
  <si>
    <t>Sain</t>
  </si>
  <si>
    <t>Afriquia Gaz</t>
  </si>
  <si>
    <t>-4,2% (effet prix)</t>
  </si>
  <si>
    <t>(Distribution Gaz)</t>
  </si>
  <si>
    <t>Excellent (Cash-cow)</t>
  </si>
  <si>
    <t>Sonasid</t>
  </si>
  <si>
    <t>+2,0%</t>
  </si>
  <si>
    <t>Désendetté</t>
  </si>
  <si>
    <t>(Sidérurgie)</t>
  </si>
  <si>
    <t>+6,0%</t>
  </si>
  <si>
    <t>Lesieur Cristal</t>
  </si>
  <si>
    <t>-12,0% (matières)</t>
  </si>
  <si>
    <t>+6,2%</t>
  </si>
  <si>
    <t>SNEP</t>
  </si>
  <si>
    <t>-42 (Déficit)</t>
  </si>
  <si>
    <t>Élevé (CAPEX)</t>
  </si>
  <si>
    <t>45 (Retour)</t>
  </si>
  <si>
    <t>Société Boissons du Maroc</t>
  </si>
  <si>
    <t>+5,1%</t>
  </si>
  <si>
    <t>(Boissons)</t>
  </si>
  <si>
    <t>Cash-flow robuste</t>
  </si>
  <si>
    <t>+4,8%</t>
  </si>
  <si>
    <t>Jorf Lasfar (Taqa)</t>
  </si>
  <si>
    <t>Dette de projet (Stable)</t>
  </si>
  <si>
    <t>(Énergie)</t>
  </si>
  <si>
    <t>En désendettement</t>
  </si>
  <si>
    <t>Résidences Dar Saada</t>
  </si>
  <si>
    <t>+10,5%</t>
  </si>
  <si>
    <t>Sous restructuration</t>
  </si>
  <si>
    <t>Jet Contractors</t>
  </si>
  <si>
    <t>+15,2%</t>
  </si>
  <si>
    <t>(BTP / Ingénierie)</t>
  </si>
  <si>
    <t>En hausse (Nouveaux marchés)</t>
  </si>
  <si>
    <t>Salafin</t>
  </si>
  <si>
    <t>+4,1%</t>
  </si>
  <si>
    <t>Propre au secteur financier</t>
  </si>
  <si>
    <t>(Crédit conso)</t>
  </si>
  <si>
    <t>+5,2%</t>
  </si>
  <si>
    <t>Colorado</t>
  </si>
  <si>
    <t>(Peinture)</t>
  </si>
  <si>
    <t>Trésorerie saine</t>
  </si>
  <si>
    <t>Maroc Leasing</t>
  </si>
  <si>
    <t>Réglementaire</t>
  </si>
  <si>
    <t>(Leasing)</t>
  </si>
  <si>
    <t>Disway</t>
  </si>
  <si>
    <t>(Distribution IT)</t>
  </si>
  <si>
    <t>Structure saine</t>
  </si>
  <si>
    <t>CTM</t>
  </si>
  <si>
    <t>(Transport)</t>
  </si>
  <si>
    <t>Cartier Saada</t>
  </si>
  <si>
    <t>(Conserves/Export)</t>
  </si>
  <si>
    <t>SMI</t>
  </si>
  <si>
    <t>(Mines d'Argent)</t>
  </si>
  <si>
    <t>Delta Holding</t>
  </si>
  <si>
    <t>(Holding diversifié)</t>
  </si>
  <si>
    <t>Aluminium du Mar.</t>
  </si>
  <si>
    <t>(Industrie)</t>
  </si>
  <si>
    <t>Eqdom</t>
  </si>
  <si>
    <t>Financier (Standard)</t>
  </si>
  <si>
    <t>Robuste</t>
  </si>
  <si>
    <t>S.M Monétique</t>
  </si>
  <si>
    <t>Nul (Trésorerie)</t>
  </si>
  <si>
    <t>Aradei Capital</t>
  </si>
  <si>
    <t>145 (FFO)</t>
  </si>
  <si>
    <t>Structurel (LTV &lt; 40%)</t>
  </si>
  <si>
    <t>(Foncière/REIT)</t>
  </si>
  <si>
    <t>Optimisé</t>
  </si>
  <si>
    <t>M2M Group</t>
  </si>
  <si>
    <t>(Technologie/Paiement)</t>
  </si>
  <si>
    <t>Trésorerie robuste</t>
  </si>
  <si>
    <t>Risma</t>
  </si>
  <si>
    <t>(Hôtellerie/Tourisme)</t>
  </si>
  <si>
    <t>Unimer</t>
  </si>
  <si>
    <t>(Conserves de poisson)</t>
  </si>
  <si>
    <t>Involys</t>
  </si>
  <si>
    <t>(Logiciels/IT)</t>
  </si>
  <si>
    <t>Amélioration du BFR</t>
  </si>
  <si>
    <t>Maghrebail</t>
  </si>
  <si>
    <t>Réglementaire (Stable)</t>
  </si>
  <si>
    <t>Maghreb Oxygène</t>
  </si>
  <si>
    <t>(Gaz industriels)</t>
  </si>
  <si>
    <t>Zellidja S.A.</t>
  </si>
  <si>
    <t>Faible (Holding)</t>
  </si>
  <si>
    <t>(Participations)</t>
  </si>
  <si>
    <t>Fenie Brossette</t>
  </si>
  <si>
    <t>-12 (Déficit)</t>
  </si>
  <si>
    <t>(Équipements indus)</t>
  </si>
  <si>
    <t>Rebab Company</t>
  </si>
  <si>
    <t>N/A</t>
  </si>
  <si>
    <t>Quasi nul</t>
  </si>
  <si>
    <t>(Investissement)</t>
  </si>
  <si>
    <t>IB Maroc.com</t>
  </si>
  <si>
    <t>-5 (Déficit)</t>
  </si>
  <si>
    <t>Sous tension</t>
  </si>
  <si>
    <t>(Services IT)</t>
  </si>
  <si>
    <t>Redressement</t>
  </si>
  <si>
    <t>TGCC</t>
  </si>
  <si>
    <t>Maîtrisé (CAPEX)</t>
  </si>
  <si>
    <t>(BTP/Construction)</t>
  </si>
  <si>
    <t>Label'Vie</t>
  </si>
  <si>
    <t>Structurel (Expansion)</t>
  </si>
  <si>
    <t>(Distribution)</t>
  </si>
  <si>
    <t>1 080</t>
  </si>
  <si>
    <t>Microdata</t>
  </si>
  <si>
    <t>(IT/Services)</t>
  </si>
  <si>
    <t>SRM (Matériel)</t>
  </si>
  <si>
    <t>-8 (Déficit)</t>
  </si>
  <si>
    <t>(Équipements)</t>
  </si>
  <si>
    <t>Balima</t>
  </si>
  <si>
    <t>Quasi Nul</t>
  </si>
  <si>
    <t>(Immobilier loc)</t>
  </si>
  <si>
    <t>Très sain</t>
  </si>
  <si>
    <t>Immorente Invest</t>
  </si>
  <si>
    <t>65 (FFO)</t>
  </si>
  <si>
    <t>Faible (LTV &lt; 30%)</t>
  </si>
  <si>
    <t>(Foncière)</t>
  </si>
  <si>
    <t>(Peinture/BTP)</t>
  </si>
  <si>
    <t>Excédent de trésorerie</t>
  </si>
  <si>
    <t>Afric Industries</t>
  </si>
  <si>
    <t>(Papier/Alu)</t>
  </si>
  <si>
    <t>Ennakl Automobiles</t>
  </si>
  <si>
    <t>(Distribution Auto)</t>
  </si>
  <si>
    <t>Zellidja</t>
  </si>
  <si>
    <t>Nul (Holding)</t>
  </si>
  <si>
    <t>Nul</t>
  </si>
  <si>
    <t>+4,5%</t>
  </si>
  <si>
    <t>+5,0%</t>
  </si>
  <si>
    <t>Conforme</t>
  </si>
  <si>
    <t>Oulmès</t>
  </si>
  <si>
    <t>(Eaux minérales)</t>
  </si>
  <si>
    <t>(Holding)</t>
  </si>
  <si>
    <t>Très Sain</t>
  </si>
  <si>
    <t>Stokvis Nord Afr.</t>
  </si>
  <si>
    <t>(Matériel)</t>
  </si>
  <si>
    <t>+9,5%</t>
  </si>
  <si>
    <t>S.M. Monétique</t>
  </si>
  <si>
    <t>(Solutions Paiement)</t>
  </si>
  <si>
    <t>Très Robuste</t>
  </si>
  <si>
    <t>Promopharm</t>
  </si>
  <si>
    <t>(Industrie Pharma)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</si>
</sst>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2023.0</v>
      </c>
      <c r="C2" s="1" t="s">
        <v>6</v>
      </c>
      <c r="D2" s="1">
        <v>4100.0</v>
      </c>
      <c r="E2" s="1" t="s">
        <v>7</v>
      </c>
    </row>
    <row r="3">
      <c r="A3" s="1" t="s">
        <v>8</v>
      </c>
      <c r="B3" s="1" t="s">
        <v>9</v>
      </c>
      <c r="C3" s="1" t="s">
        <v>10</v>
      </c>
      <c r="D3" s="1">
        <v>4550.0</v>
      </c>
      <c r="E3" s="1" t="s">
        <v>11</v>
      </c>
    </row>
    <row r="4">
      <c r="B4" s="1" t="s">
        <v>12</v>
      </c>
      <c r="C4" s="1" t="s">
        <v>13</v>
      </c>
      <c r="D4" s="1">
        <v>4900.0</v>
      </c>
      <c r="E4" s="1" t="s">
        <v>11</v>
      </c>
    </row>
    <row r="5">
      <c r="A5" s="1" t="s">
        <v>14</v>
      </c>
      <c r="B5" s="1">
        <v>2023.0</v>
      </c>
      <c r="C5" s="1" t="s">
        <v>15</v>
      </c>
      <c r="D5" s="1">
        <v>200.0</v>
      </c>
      <c r="E5" s="1" t="s">
        <v>16</v>
      </c>
    </row>
    <row r="6">
      <c r="A6" s="1" t="s">
        <v>17</v>
      </c>
      <c r="B6" s="1" t="s">
        <v>9</v>
      </c>
      <c r="C6" s="1" t="s">
        <v>18</v>
      </c>
      <c r="D6" s="1">
        <v>310.0</v>
      </c>
      <c r="E6" s="1" t="s">
        <v>19</v>
      </c>
    </row>
    <row r="7">
      <c r="B7" s="1" t="s">
        <v>12</v>
      </c>
      <c r="C7" s="1" t="s">
        <v>20</v>
      </c>
      <c r="D7" s="1">
        <v>420.0</v>
      </c>
      <c r="E7" s="1" t="s">
        <v>21</v>
      </c>
    </row>
    <row r="8">
      <c r="A8" s="1" t="s">
        <v>22</v>
      </c>
      <c r="B8" s="1">
        <v>2023.0</v>
      </c>
      <c r="C8" s="1" t="s">
        <v>23</v>
      </c>
      <c r="D8" s="1">
        <v>850.0</v>
      </c>
      <c r="E8" s="1" t="s">
        <v>24</v>
      </c>
    </row>
    <row r="9">
      <c r="A9" s="1" t="s">
        <v>25</v>
      </c>
      <c r="B9" s="1" t="s">
        <v>9</v>
      </c>
      <c r="C9" s="1" t="s">
        <v>26</v>
      </c>
      <c r="D9" s="1">
        <v>960.0</v>
      </c>
      <c r="E9" s="1" t="s">
        <v>27</v>
      </c>
    </row>
    <row r="10">
      <c r="B10" s="1" t="s">
        <v>12</v>
      </c>
      <c r="C10" s="1" t="s">
        <v>28</v>
      </c>
      <c r="D10" s="1">
        <v>1050.0</v>
      </c>
      <c r="E10" s="1" t="s">
        <v>27</v>
      </c>
    </row>
    <row r="11">
      <c r="A11" s="1" t="s">
        <v>29</v>
      </c>
      <c r="B11" s="1">
        <v>2023.0</v>
      </c>
      <c r="C11" s="1" t="s">
        <v>30</v>
      </c>
      <c r="D11" s="1">
        <v>820.0</v>
      </c>
      <c r="E11" s="1" t="s">
        <v>31</v>
      </c>
    </row>
    <row r="12">
      <c r="A12" s="1" t="s">
        <v>32</v>
      </c>
      <c r="B12" s="1" t="s">
        <v>9</v>
      </c>
      <c r="C12" s="1" t="s">
        <v>33</v>
      </c>
      <c r="D12" s="1">
        <v>880.0</v>
      </c>
      <c r="E12" s="1" t="s">
        <v>34</v>
      </c>
    </row>
    <row r="13">
      <c r="B13" s="1" t="s">
        <v>12</v>
      </c>
      <c r="C13" s="1" t="s">
        <v>35</v>
      </c>
      <c r="D13" s="1">
        <v>940.0</v>
      </c>
      <c r="E13" s="1" t="s">
        <v>36</v>
      </c>
    </row>
    <row r="14">
      <c r="A14" s="2" t="s">
        <v>37</v>
      </c>
      <c r="B14" s="3">
        <v>2023.0</v>
      </c>
      <c r="C14" s="4">
        <v>-0.021</v>
      </c>
      <c r="D14" s="3">
        <v>850.0</v>
      </c>
      <c r="E14" s="2" t="s">
        <v>38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39</v>
      </c>
      <c r="B15" s="2" t="s">
        <v>9</v>
      </c>
      <c r="C15" s="2" t="s">
        <v>40</v>
      </c>
      <c r="D15" s="3">
        <v>920.0</v>
      </c>
      <c r="E15" s="2" t="s">
        <v>34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12</v>
      </c>
      <c r="C16" s="2" t="s">
        <v>41</v>
      </c>
      <c r="D16" s="3">
        <v>980.0</v>
      </c>
      <c r="E16" s="2" t="s">
        <v>34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42</v>
      </c>
      <c r="B17" s="3">
        <v>2023.0</v>
      </c>
      <c r="C17" s="2" t="s">
        <v>43</v>
      </c>
      <c r="D17" s="3">
        <v>910.0</v>
      </c>
      <c r="E17" s="2" t="s">
        <v>44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45</v>
      </c>
      <c r="B18" s="2" t="s">
        <v>9</v>
      </c>
      <c r="C18" s="2" t="s">
        <v>35</v>
      </c>
      <c r="D18" s="3">
        <v>1020.0</v>
      </c>
      <c r="E18" s="2" t="s">
        <v>46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 t="s">
        <v>12</v>
      </c>
      <c r="C19" s="2" t="s">
        <v>47</v>
      </c>
      <c r="D19" s="3">
        <v>1150.0</v>
      </c>
      <c r="E19" s="2" t="s">
        <v>46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48</v>
      </c>
      <c r="B20" s="3">
        <v>2023.0</v>
      </c>
      <c r="C20" s="2" t="s">
        <v>49</v>
      </c>
      <c r="D20" s="3">
        <v>45.0</v>
      </c>
      <c r="E20" s="2" t="s">
        <v>50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51</v>
      </c>
      <c r="B21" s="2" t="s">
        <v>9</v>
      </c>
      <c r="C21" s="2" t="s">
        <v>52</v>
      </c>
      <c r="D21" s="3">
        <v>120.0</v>
      </c>
      <c r="E21" s="2" t="s">
        <v>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 t="s">
        <v>12</v>
      </c>
      <c r="C22" s="2" t="s">
        <v>53</v>
      </c>
      <c r="D22" s="3">
        <v>180.0</v>
      </c>
      <c r="E22" s="2" t="s">
        <v>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54</v>
      </c>
      <c r="B23" s="3">
        <v>2023.0</v>
      </c>
      <c r="C23" s="2" t="s">
        <v>23</v>
      </c>
      <c r="D23" s="3">
        <v>852.0</v>
      </c>
      <c r="E23" s="2" t="s">
        <v>55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56</v>
      </c>
      <c r="B24" s="2" t="s">
        <v>9</v>
      </c>
      <c r="C24" s="2" t="s">
        <v>57</v>
      </c>
      <c r="D24" s="3">
        <v>940.0</v>
      </c>
      <c r="E24" s="2" t="s">
        <v>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 t="s">
        <v>12</v>
      </c>
      <c r="C25" s="2" t="s">
        <v>58</v>
      </c>
      <c r="D25" s="3">
        <v>1050.0</v>
      </c>
      <c r="E25" s="2" t="s">
        <v>59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60</v>
      </c>
      <c r="B26" s="3">
        <v>2023.0</v>
      </c>
      <c r="C26" s="4">
        <v>-0.08</v>
      </c>
      <c r="D26" s="2" t="s">
        <v>61</v>
      </c>
      <c r="E26" s="2" t="s">
        <v>62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63</v>
      </c>
      <c r="B27" s="2" t="s">
        <v>9</v>
      </c>
      <c r="C27" s="2" t="s">
        <v>53</v>
      </c>
      <c r="D27" s="3">
        <v>35.0</v>
      </c>
      <c r="E27" s="2" t="s">
        <v>64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 t="s">
        <v>12</v>
      </c>
      <c r="C28" s="2" t="s">
        <v>65</v>
      </c>
      <c r="D28" s="3">
        <v>75.0</v>
      </c>
      <c r="E28" s="2" t="s">
        <v>66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67</v>
      </c>
      <c r="B29" s="3">
        <v>2023.0</v>
      </c>
      <c r="C29" s="2" t="s">
        <v>68</v>
      </c>
      <c r="D29" s="3">
        <v>1050.0</v>
      </c>
      <c r="E29" s="2" t="s">
        <v>69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70</v>
      </c>
      <c r="B30" s="2" t="s">
        <v>9</v>
      </c>
      <c r="C30" s="2" t="s">
        <v>10</v>
      </c>
      <c r="D30" s="3">
        <v>1180.0</v>
      </c>
      <c r="E30" s="2" t="s">
        <v>71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 t="s">
        <v>12</v>
      </c>
      <c r="C31" s="2" t="s">
        <v>13</v>
      </c>
      <c r="D31" s="3">
        <v>1290.0</v>
      </c>
      <c r="E31" s="2" t="s">
        <v>71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72</v>
      </c>
      <c r="B32" s="3">
        <v>2023.0</v>
      </c>
      <c r="C32" s="2" t="s">
        <v>73</v>
      </c>
      <c r="D32" s="3">
        <v>120.0</v>
      </c>
      <c r="E32" s="2" t="s">
        <v>38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74</v>
      </c>
      <c r="B33" s="2" t="s">
        <v>9</v>
      </c>
      <c r="C33" s="2" t="s">
        <v>49</v>
      </c>
      <c r="D33" s="3">
        <v>145.0</v>
      </c>
      <c r="E33" s="2" t="s">
        <v>75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 t="s">
        <v>12</v>
      </c>
      <c r="C34" s="2" t="s">
        <v>76</v>
      </c>
      <c r="D34" s="3">
        <v>185.0</v>
      </c>
      <c r="E34" s="2" t="s">
        <v>75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77</v>
      </c>
      <c r="B35" s="3">
        <v>2023.0</v>
      </c>
      <c r="C35" s="4">
        <v>-0.05</v>
      </c>
      <c r="D35" s="3">
        <v>135.0</v>
      </c>
      <c r="E35" s="2" t="s">
        <v>31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78</v>
      </c>
      <c r="B36" s="2" t="s">
        <v>9</v>
      </c>
      <c r="C36" s="2" t="s">
        <v>57</v>
      </c>
      <c r="D36" s="3">
        <v>165.0</v>
      </c>
      <c r="E36" s="2" t="s">
        <v>34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 t="s">
        <v>12</v>
      </c>
      <c r="C37" s="2" t="s">
        <v>79</v>
      </c>
      <c r="D37" s="3">
        <v>195.0</v>
      </c>
      <c r="E37" s="2" t="s">
        <v>80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81</v>
      </c>
      <c r="B38" s="3">
        <v>2023.0</v>
      </c>
      <c r="C38" s="2" t="s">
        <v>82</v>
      </c>
      <c r="D38" s="3">
        <v>110.0</v>
      </c>
      <c r="E38" s="2" t="s">
        <v>83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84</v>
      </c>
      <c r="B39" s="2" t="s">
        <v>9</v>
      </c>
      <c r="C39" s="2" t="s">
        <v>52</v>
      </c>
      <c r="D39" s="3">
        <v>140.0</v>
      </c>
      <c r="E39" s="2" t="s">
        <v>66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 t="s">
        <v>12</v>
      </c>
      <c r="C40" s="2" t="s">
        <v>53</v>
      </c>
      <c r="D40" s="3">
        <v>175.0</v>
      </c>
      <c r="E40" s="2" t="s">
        <v>19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85</v>
      </c>
      <c r="B41" s="3">
        <v>2023.0</v>
      </c>
      <c r="C41" s="2" t="s">
        <v>86</v>
      </c>
      <c r="D41" s="3">
        <v>170.0</v>
      </c>
      <c r="E41" s="2" t="s">
        <v>87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51</v>
      </c>
      <c r="B42" s="2" t="s">
        <v>9</v>
      </c>
      <c r="C42" s="2" t="s">
        <v>53</v>
      </c>
      <c r="D42" s="3">
        <v>210.0</v>
      </c>
      <c r="E42" s="2" t="s">
        <v>88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 t="s">
        <v>12</v>
      </c>
      <c r="C43" s="2" t="s">
        <v>52</v>
      </c>
      <c r="D43" s="3">
        <v>245.0</v>
      </c>
      <c r="E43" s="2" t="s">
        <v>88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89</v>
      </c>
      <c r="B44" s="3">
        <v>2023.0</v>
      </c>
      <c r="C44" s="2" t="s">
        <v>90</v>
      </c>
      <c r="D44" s="3">
        <v>905.0</v>
      </c>
      <c r="E44" s="2" t="s">
        <v>27</v>
      </c>
      <c r="F44" s="2"/>
    </row>
    <row r="45">
      <c r="A45" s="2" t="s">
        <v>91</v>
      </c>
      <c r="B45" s="2" t="s">
        <v>9</v>
      </c>
      <c r="C45" s="2" t="s">
        <v>40</v>
      </c>
      <c r="D45" s="3">
        <v>940.0</v>
      </c>
      <c r="E45" s="2" t="s">
        <v>92</v>
      </c>
      <c r="F45" s="2"/>
    </row>
    <row r="46">
      <c r="A46" s="2"/>
      <c r="B46" s="2" t="s">
        <v>12</v>
      </c>
      <c r="C46" s="2" t="s">
        <v>35</v>
      </c>
      <c r="D46" s="3">
        <v>985.0</v>
      </c>
      <c r="E46" s="2" t="s">
        <v>55</v>
      </c>
      <c r="F46" s="2"/>
    </row>
    <row r="47">
      <c r="A47" s="2" t="s">
        <v>93</v>
      </c>
      <c r="B47" s="3">
        <v>2023.0</v>
      </c>
      <c r="C47" s="2" t="s">
        <v>94</v>
      </c>
      <c r="D47" s="3">
        <v>75.0</v>
      </c>
      <c r="E47" s="2" t="s">
        <v>95</v>
      </c>
      <c r="F47" s="2"/>
    </row>
    <row r="48">
      <c r="A48" s="2" t="s">
        <v>96</v>
      </c>
      <c r="B48" s="2" t="s">
        <v>9</v>
      </c>
      <c r="C48" s="2" t="s">
        <v>97</v>
      </c>
      <c r="D48" s="3">
        <v>110.0</v>
      </c>
      <c r="E48" s="2" t="s">
        <v>44</v>
      </c>
      <c r="F48" s="2"/>
    </row>
    <row r="49">
      <c r="A49" s="2"/>
      <c r="B49" s="2" t="s">
        <v>12</v>
      </c>
      <c r="C49" s="2" t="s">
        <v>58</v>
      </c>
      <c r="D49" s="3">
        <v>145.0</v>
      </c>
      <c r="E49" s="2" t="s">
        <v>44</v>
      </c>
      <c r="F49" s="2"/>
    </row>
    <row r="50">
      <c r="A50" s="2" t="s">
        <v>98</v>
      </c>
      <c r="B50" s="3">
        <v>2023.0</v>
      </c>
      <c r="C50" s="2" t="s">
        <v>99</v>
      </c>
      <c r="D50" s="3">
        <v>220.0</v>
      </c>
      <c r="E50" s="2" t="s">
        <v>31</v>
      </c>
      <c r="F50" s="2"/>
    </row>
    <row r="51">
      <c r="A51" s="2" t="s">
        <v>32</v>
      </c>
      <c r="B51" s="2" t="s">
        <v>9</v>
      </c>
      <c r="C51" s="2" t="s">
        <v>47</v>
      </c>
      <c r="D51" s="3">
        <v>310.0</v>
      </c>
      <c r="E51" s="2" t="s">
        <v>34</v>
      </c>
      <c r="F51" s="2"/>
    </row>
    <row r="52">
      <c r="A52" s="2"/>
      <c r="B52" s="2" t="s">
        <v>12</v>
      </c>
      <c r="C52" s="2" t="s">
        <v>100</v>
      </c>
      <c r="D52" s="3">
        <v>350.0</v>
      </c>
      <c r="E52" s="2" t="s">
        <v>80</v>
      </c>
      <c r="F52" s="2"/>
    </row>
    <row r="53">
      <c r="A53" s="2" t="s">
        <v>101</v>
      </c>
      <c r="B53" s="3">
        <v>2023.0</v>
      </c>
      <c r="C53" s="4">
        <v>-0.085</v>
      </c>
      <c r="D53" s="2" t="s">
        <v>102</v>
      </c>
      <c r="E53" s="2" t="s">
        <v>103</v>
      </c>
      <c r="F53" s="2"/>
    </row>
    <row r="54">
      <c r="A54" s="2" t="s">
        <v>63</v>
      </c>
      <c r="B54" s="2" t="s">
        <v>9</v>
      </c>
      <c r="C54" s="2" t="s">
        <v>53</v>
      </c>
      <c r="D54" s="2" t="s">
        <v>104</v>
      </c>
      <c r="E54" s="2" t="s">
        <v>64</v>
      </c>
      <c r="F54" s="2"/>
    </row>
    <row r="55">
      <c r="A55" s="2"/>
      <c r="B55" s="2" t="s">
        <v>12</v>
      </c>
      <c r="C55" s="2" t="s">
        <v>49</v>
      </c>
      <c r="D55" s="3">
        <v>85.0</v>
      </c>
      <c r="E55" s="2" t="s">
        <v>21</v>
      </c>
      <c r="F55" s="2"/>
    </row>
    <row r="56">
      <c r="A56" s="2" t="s">
        <v>105</v>
      </c>
      <c r="B56" s="3">
        <v>2023.0</v>
      </c>
      <c r="C56" s="2" t="s">
        <v>106</v>
      </c>
      <c r="D56" s="3">
        <v>340.0</v>
      </c>
      <c r="E56" s="2" t="s">
        <v>46</v>
      </c>
      <c r="F56" s="2"/>
    </row>
    <row r="57">
      <c r="A57" s="2" t="s">
        <v>107</v>
      </c>
      <c r="B57" s="2" t="s">
        <v>9</v>
      </c>
      <c r="C57" s="2" t="s">
        <v>41</v>
      </c>
      <c r="D57" s="3">
        <v>365.0</v>
      </c>
      <c r="E57" s="2" t="s">
        <v>108</v>
      </c>
      <c r="F57" s="2"/>
    </row>
    <row r="58">
      <c r="A58" s="2"/>
      <c r="B58" s="2" t="s">
        <v>12</v>
      </c>
      <c r="C58" s="2" t="s">
        <v>109</v>
      </c>
      <c r="D58" s="3">
        <v>390.0</v>
      </c>
      <c r="E58" s="2" t="s">
        <v>108</v>
      </c>
      <c r="F58" s="2"/>
    </row>
    <row r="59">
      <c r="A59" s="2" t="s">
        <v>110</v>
      </c>
      <c r="B59" s="3">
        <v>2023.0</v>
      </c>
      <c r="C59" s="4">
        <v>-0.028</v>
      </c>
      <c r="D59" s="3">
        <v>1040.0</v>
      </c>
      <c r="E59" s="2" t="s">
        <v>111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112</v>
      </c>
      <c r="B60" s="2" t="s">
        <v>9</v>
      </c>
      <c r="C60" s="2" t="s">
        <v>33</v>
      </c>
      <c r="D60" s="3">
        <v>1150.0</v>
      </c>
      <c r="E60" s="2" t="s">
        <v>113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 t="s">
        <v>12</v>
      </c>
      <c r="C61" s="2" t="s">
        <v>40</v>
      </c>
      <c r="D61" s="3">
        <v>1210.0</v>
      </c>
      <c r="E61" s="2" t="s">
        <v>19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114</v>
      </c>
      <c r="B62" s="3">
        <v>2023.0</v>
      </c>
      <c r="C62" s="2" t="s">
        <v>115</v>
      </c>
      <c r="D62" s="3">
        <v>28.0</v>
      </c>
      <c r="E62" s="2" t="s">
        <v>62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51</v>
      </c>
      <c r="B63" s="2" t="s">
        <v>9</v>
      </c>
      <c r="C63" s="2" t="s">
        <v>57</v>
      </c>
      <c r="D63" s="3">
        <v>45.0</v>
      </c>
      <c r="E63" s="2" t="s">
        <v>116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 t="s">
        <v>12</v>
      </c>
      <c r="C64" s="2" t="s">
        <v>52</v>
      </c>
      <c r="D64" s="3">
        <v>65.0</v>
      </c>
      <c r="E64" s="2" t="s">
        <v>21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117</v>
      </c>
      <c r="B65" s="3">
        <v>2023.0</v>
      </c>
      <c r="C65" s="2" t="s">
        <v>118</v>
      </c>
      <c r="D65" s="3">
        <v>35.0</v>
      </c>
      <c r="E65" s="2" t="s">
        <v>31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119</v>
      </c>
      <c r="B66" s="2" t="s">
        <v>9</v>
      </c>
      <c r="C66" s="2" t="s">
        <v>86</v>
      </c>
      <c r="D66" s="3">
        <v>72.0</v>
      </c>
      <c r="E66" s="2" t="s">
        <v>120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 t="s">
        <v>12</v>
      </c>
      <c r="C67" s="2" t="s">
        <v>65</v>
      </c>
      <c r="D67" s="3">
        <v>95.0</v>
      </c>
      <c r="E67" s="2" t="s">
        <v>34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121</v>
      </c>
      <c r="B68" s="3">
        <v>2023.0</v>
      </c>
      <c r="C68" s="2" t="s">
        <v>122</v>
      </c>
      <c r="D68" s="3">
        <v>105.0</v>
      </c>
      <c r="E68" s="2" t="s">
        <v>123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124</v>
      </c>
      <c r="B69" s="2" t="s">
        <v>9</v>
      </c>
      <c r="C69" s="2" t="s">
        <v>125</v>
      </c>
      <c r="D69" s="3">
        <v>125.0</v>
      </c>
      <c r="E69" s="2" t="s">
        <v>11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 t="s">
        <v>12</v>
      </c>
      <c r="C70" s="2" t="s">
        <v>97</v>
      </c>
      <c r="D70" s="3">
        <v>140.0</v>
      </c>
      <c r="E70" s="2" t="s">
        <v>11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126</v>
      </c>
      <c r="B71" s="3">
        <v>2023.0</v>
      </c>
      <c r="C71" s="2" t="s">
        <v>40</v>
      </c>
      <c r="D71" s="3">
        <v>52.0</v>
      </c>
      <c r="E71" s="2" t="s">
        <v>27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127</v>
      </c>
      <c r="B72" s="2" t="s">
        <v>9</v>
      </c>
      <c r="C72" s="2" t="s">
        <v>47</v>
      </c>
      <c r="D72" s="3">
        <v>60.0</v>
      </c>
      <c r="E72" s="2" t="s">
        <v>95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 t="s">
        <v>12</v>
      </c>
      <c r="C73" s="2" t="s">
        <v>10</v>
      </c>
      <c r="D73" s="3">
        <v>68.0</v>
      </c>
      <c r="E73" s="2" t="s">
        <v>128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129</v>
      </c>
      <c r="B74" s="6">
        <v>2023.0</v>
      </c>
      <c r="C74" s="7">
        <f>+4.8%</f>
        <v>0.048</v>
      </c>
      <c r="D74" s="6">
        <v>72.0</v>
      </c>
      <c r="E74" s="5" t="s">
        <v>130</v>
      </c>
    </row>
    <row r="75">
      <c r="A75" s="8" t="s">
        <v>131</v>
      </c>
      <c r="B75" s="6" t="s">
        <v>9</v>
      </c>
      <c r="C75" s="7">
        <f>+5.5%</f>
        <v>0.055</v>
      </c>
      <c r="D75" s="6">
        <v>85.0</v>
      </c>
      <c r="E75" s="5" t="s">
        <v>11</v>
      </c>
    </row>
    <row r="76">
      <c r="A76" s="7"/>
      <c r="B76" s="6" t="s">
        <v>12</v>
      </c>
      <c r="C76" s="7">
        <f>+6.2%</f>
        <v>0.062</v>
      </c>
      <c r="D76" s="6">
        <v>98.0</v>
      </c>
      <c r="E76" s="5" t="s">
        <v>11</v>
      </c>
    </row>
    <row r="77">
      <c r="A77" s="5" t="s">
        <v>132</v>
      </c>
      <c r="B77" s="6">
        <v>2023.0</v>
      </c>
      <c r="C77" s="7">
        <f>+2.5%</f>
        <v>0.025</v>
      </c>
      <c r="D77" s="6">
        <v>102.0</v>
      </c>
      <c r="E77" s="5" t="s">
        <v>38</v>
      </c>
    </row>
    <row r="78">
      <c r="A78" s="8" t="s">
        <v>133</v>
      </c>
      <c r="B78" s="6" t="s">
        <v>9</v>
      </c>
      <c r="C78" s="7">
        <f>+4%</f>
        <v>0.04</v>
      </c>
      <c r="D78" s="6">
        <v>115.0</v>
      </c>
      <c r="E78" s="5" t="s">
        <v>134</v>
      </c>
    </row>
    <row r="79">
      <c r="A79" s="7"/>
      <c r="B79" s="6" t="s">
        <v>12</v>
      </c>
      <c r="C79" s="7">
        <f>+6.5%</f>
        <v>0.065</v>
      </c>
      <c r="D79" s="6">
        <v>130.0</v>
      </c>
      <c r="E79" s="5" t="s">
        <v>44</v>
      </c>
    </row>
    <row r="80">
      <c r="A80" s="5" t="s">
        <v>135</v>
      </c>
      <c r="B80" s="6">
        <v>2023.0</v>
      </c>
      <c r="C80" s="7">
        <f>+8%</f>
        <v>0.08</v>
      </c>
      <c r="D80" s="6">
        <v>38.0</v>
      </c>
      <c r="E80" s="5" t="s">
        <v>31</v>
      </c>
    </row>
    <row r="81">
      <c r="A81" s="8" t="s">
        <v>136</v>
      </c>
      <c r="B81" s="6" t="s">
        <v>9</v>
      </c>
      <c r="C81" s="7">
        <f>+10%</f>
        <v>0.1</v>
      </c>
      <c r="D81" s="6">
        <v>55.0</v>
      </c>
      <c r="E81" s="5" t="s">
        <v>36</v>
      </c>
    </row>
    <row r="82">
      <c r="A82" s="7"/>
      <c r="B82" s="6" t="s">
        <v>12</v>
      </c>
      <c r="C82" s="7">
        <f>+12%</f>
        <v>0.12</v>
      </c>
      <c r="D82" s="6">
        <v>72.0</v>
      </c>
      <c r="E82" s="5" t="s">
        <v>19</v>
      </c>
    </row>
    <row r="83">
      <c r="A83" s="5" t="s">
        <v>137</v>
      </c>
      <c r="B83" s="6">
        <v>2023.0</v>
      </c>
      <c r="C83" s="7">
        <f>+11%</f>
        <v>0.11</v>
      </c>
      <c r="D83" s="6">
        <v>6.0</v>
      </c>
      <c r="E83" s="5" t="s">
        <v>21</v>
      </c>
    </row>
    <row r="84">
      <c r="A84" s="8" t="s">
        <v>138</v>
      </c>
      <c r="B84" s="6" t="s">
        <v>9</v>
      </c>
      <c r="C84" s="7">
        <f>+9.5%</f>
        <v>0.095</v>
      </c>
      <c r="D84" s="6">
        <v>12.0</v>
      </c>
      <c r="E84" s="5" t="s">
        <v>34</v>
      </c>
    </row>
    <row r="85">
      <c r="A85" s="7"/>
      <c r="B85" s="6" t="s">
        <v>12</v>
      </c>
      <c r="C85" s="7">
        <f>+14%</f>
        <v>0.14</v>
      </c>
      <c r="D85" s="6">
        <v>22.0</v>
      </c>
      <c r="E85" s="5" t="s">
        <v>88</v>
      </c>
    </row>
    <row r="86">
      <c r="A86" s="5" t="s">
        <v>139</v>
      </c>
      <c r="B86" s="6">
        <v>2023.0</v>
      </c>
      <c r="C86" s="9">
        <v>-0.05</v>
      </c>
      <c r="D86" s="6">
        <v>45.0</v>
      </c>
      <c r="E86" s="5" t="s">
        <v>38</v>
      </c>
    </row>
    <row r="87">
      <c r="A87" s="8" t="s">
        <v>140</v>
      </c>
      <c r="B87" s="6" t="s">
        <v>9</v>
      </c>
      <c r="C87" s="7">
        <f>+15%</f>
        <v>0.15</v>
      </c>
      <c r="D87" s="6">
        <v>95.0</v>
      </c>
      <c r="E87" s="5" t="s">
        <v>27</v>
      </c>
    </row>
    <row r="88">
      <c r="A88" s="7"/>
      <c r="B88" s="6" t="s">
        <v>12</v>
      </c>
      <c r="C88" s="7">
        <f>+18%</f>
        <v>0.18</v>
      </c>
      <c r="D88" s="6">
        <v>130.0</v>
      </c>
      <c r="E88" s="5" t="s">
        <v>55</v>
      </c>
    </row>
    <row r="89">
      <c r="A89" s="5" t="s">
        <v>141</v>
      </c>
      <c r="B89" s="6">
        <v>2023.0</v>
      </c>
      <c r="C89" s="7">
        <f>+6.2%</f>
        <v>0.062</v>
      </c>
      <c r="D89" s="6">
        <v>185.0</v>
      </c>
      <c r="E89" s="5" t="s">
        <v>19</v>
      </c>
    </row>
    <row r="90">
      <c r="A90" s="8" t="s">
        <v>142</v>
      </c>
      <c r="B90" s="6" t="s">
        <v>9</v>
      </c>
      <c r="C90" s="7">
        <f>+5%</f>
        <v>0.05</v>
      </c>
      <c r="D90" s="6">
        <v>205.0</v>
      </c>
      <c r="E90" s="5" t="s">
        <v>88</v>
      </c>
    </row>
    <row r="91">
      <c r="A91" s="7"/>
      <c r="B91" s="6" t="s">
        <v>12</v>
      </c>
      <c r="C91" s="7">
        <f>+5.8%</f>
        <v>0.058</v>
      </c>
      <c r="D91" s="6">
        <v>225.0</v>
      </c>
      <c r="E91" s="5" t="s">
        <v>88</v>
      </c>
    </row>
    <row r="92">
      <c r="A92" s="5" t="s">
        <v>143</v>
      </c>
      <c r="B92" s="6">
        <v>2023.0</v>
      </c>
      <c r="C92" s="9">
        <v>-0.025</v>
      </c>
      <c r="D92" s="6">
        <v>48.0</v>
      </c>
      <c r="E92" s="5" t="s">
        <v>31</v>
      </c>
    </row>
    <row r="93">
      <c r="A93" s="8" t="s">
        <v>144</v>
      </c>
      <c r="B93" s="6" t="s">
        <v>9</v>
      </c>
      <c r="C93" s="7">
        <f>+7%</f>
        <v>0.07</v>
      </c>
      <c r="D93" s="6">
        <v>55.0</v>
      </c>
      <c r="E93" s="5" t="s">
        <v>34</v>
      </c>
    </row>
    <row r="94">
      <c r="A94" s="7"/>
      <c r="B94" s="6" t="s">
        <v>12</v>
      </c>
      <c r="C94" s="7">
        <f>+9.5%</f>
        <v>0.095</v>
      </c>
      <c r="D94" s="6">
        <v>68.0</v>
      </c>
      <c r="E94" s="5" t="s">
        <v>80</v>
      </c>
    </row>
    <row r="95">
      <c r="A95" s="5" t="s">
        <v>145</v>
      </c>
      <c r="B95" s="6">
        <v>2023.0</v>
      </c>
      <c r="C95" s="7">
        <f>+3.8%</f>
        <v>0.038</v>
      </c>
      <c r="D95" s="6">
        <v>155.0</v>
      </c>
      <c r="E95" s="5" t="s">
        <v>146</v>
      </c>
    </row>
    <row r="96">
      <c r="A96" s="8" t="s">
        <v>124</v>
      </c>
      <c r="B96" s="6" t="s">
        <v>9</v>
      </c>
      <c r="C96" s="7">
        <f>+4.5%</f>
        <v>0.045</v>
      </c>
      <c r="D96" s="6">
        <v>170.0</v>
      </c>
      <c r="E96" s="5" t="s">
        <v>147</v>
      </c>
    </row>
    <row r="97">
      <c r="A97" s="7"/>
      <c r="B97" s="6" t="s">
        <v>12</v>
      </c>
      <c r="C97" s="7">
        <f>+5.2%</f>
        <v>0.052</v>
      </c>
      <c r="D97" s="6">
        <v>185.0</v>
      </c>
      <c r="E97" s="5" t="s">
        <v>147</v>
      </c>
    </row>
    <row r="98">
      <c r="A98" s="5" t="s">
        <v>148</v>
      </c>
      <c r="B98" s="6">
        <v>2023.0</v>
      </c>
      <c r="C98" s="7">
        <f>+7.5%</f>
        <v>0.075</v>
      </c>
      <c r="D98" s="6">
        <v>22.0</v>
      </c>
      <c r="E98" s="5" t="s">
        <v>149</v>
      </c>
    </row>
    <row r="99">
      <c r="A99" s="8" t="s">
        <v>74</v>
      </c>
      <c r="B99" s="6" t="s">
        <v>9</v>
      </c>
      <c r="C99" s="7">
        <f>+6.8%</f>
        <v>0.068</v>
      </c>
      <c r="D99" s="6">
        <v>26.0</v>
      </c>
      <c r="E99" s="5" t="s">
        <v>55</v>
      </c>
    </row>
    <row r="100">
      <c r="A100" s="7"/>
      <c r="B100" s="6" t="s">
        <v>12</v>
      </c>
      <c r="C100" s="7">
        <f>+8%</f>
        <v>0.08</v>
      </c>
      <c r="D100" s="6">
        <v>32.0</v>
      </c>
      <c r="E100" s="5" t="s">
        <v>55</v>
      </c>
    </row>
    <row r="101">
      <c r="A101" s="5" t="s">
        <v>150</v>
      </c>
      <c r="B101" s="6">
        <v>2023.0</v>
      </c>
      <c r="C101" s="7">
        <f>+14%</f>
        <v>0.14</v>
      </c>
      <c r="D101" s="6" t="s">
        <v>151</v>
      </c>
      <c r="E101" s="5" t="s">
        <v>152</v>
      </c>
    </row>
    <row r="102">
      <c r="A102" s="8" t="s">
        <v>153</v>
      </c>
      <c r="B102" s="6" t="s">
        <v>9</v>
      </c>
      <c r="C102" s="7">
        <f>+10%</f>
        <v>0.1</v>
      </c>
      <c r="D102" s="6">
        <v>165.0</v>
      </c>
      <c r="E102" s="5" t="s">
        <v>19</v>
      </c>
    </row>
    <row r="103">
      <c r="A103" s="7"/>
      <c r="B103" s="6" t="s">
        <v>12</v>
      </c>
      <c r="C103" s="7">
        <f>+12%</f>
        <v>0.12</v>
      </c>
      <c r="D103" s="6">
        <v>190.0</v>
      </c>
      <c r="E103" s="5" t="s">
        <v>154</v>
      </c>
    </row>
    <row r="104">
      <c r="A104" s="5" t="s">
        <v>141</v>
      </c>
      <c r="B104" s="6">
        <v>2023.0</v>
      </c>
      <c r="C104" s="7">
        <f>+6.2%</f>
        <v>0.062</v>
      </c>
      <c r="D104" s="6">
        <v>185.0</v>
      </c>
      <c r="E104" s="5" t="s">
        <v>19</v>
      </c>
    </row>
    <row r="105">
      <c r="A105" s="8" t="s">
        <v>142</v>
      </c>
      <c r="B105" s="6" t="s">
        <v>9</v>
      </c>
      <c r="C105" s="7">
        <f>+5%</f>
        <v>0.05</v>
      </c>
      <c r="D105" s="6">
        <v>205.0</v>
      </c>
      <c r="E105" s="5" t="s">
        <v>88</v>
      </c>
    </row>
    <row r="106">
      <c r="A106" s="7"/>
      <c r="B106" s="6" t="s">
        <v>12</v>
      </c>
      <c r="C106" s="7">
        <f>+5.8%</f>
        <v>0.058</v>
      </c>
      <c r="D106" s="6">
        <v>225.0</v>
      </c>
      <c r="E106" s="5" t="s">
        <v>88</v>
      </c>
    </row>
    <row r="107">
      <c r="A107" s="5" t="s">
        <v>143</v>
      </c>
      <c r="B107" s="6">
        <v>2023.0</v>
      </c>
      <c r="C107" s="9">
        <v>-0.025</v>
      </c>
      <c r="D107" s="6">
        <v>48.0</v>
      </c>
      <c r="E107" s="5" t="s">
        <v>31</v>
      </c>
    </row>
    <row r="108">
      <c r="A108" s="8" t="s">
        <v>144</v>
      </c>
      <c r="B108" s="6" t="s">
        <v>9</v>
      </c>
      <c r="C108" s="7">
        <f>+7%</f>
        <v>0.07</v>
      </c>
      <c r="D108" s="6">
        <v>55.0</v>
      </c>
      <c r="E108" s="5" t="s">
        <v>34</v>
      </c>
    </row>
    <row r="109">
      <c r="A109" s="7"/>
      <c r="B109" s="6" t="s">
        <v>12</v>
      </c>
      <c r="C109" s="7">
        <f>+9.5%</f>
        <v>0.095</v>
      </c>
      <c r="D109" s="6">
        <v>68.0</v>
      </c>
      <c r="E109" s="5" t="s">
        <v>80</v>
      </c>
    </row>
    <row r="110">
      <c r="A110" s="5" t="s">
        <v>145</v>
      </c>
      <c r="B110" s="6">
        <v>2023.0</v>
      </c>
      <c r="C110" s="7">
        <f>+3.8%</f>
        <v>0.038</v>
      </c>
      <c r="D110" s="6">
        <v>155.0</v>
      </c>
      <c r="E110" s="5" t="s">
        <v>146</v>
      </c>
    </row>
    <row r="111">
      <c r="A111" s="8" t="s">
        <v>124</v>
      </c>
      <c r="B111" s="6" t="s">
        <v>9</v>
      </c>
      <c r="C111" s="7">
        <f>+4.5%</f>
        <v>0.045</v>
      </c>
      <c r="D111" s="6">
        <v>170.0</v>
      </c>
      <c r="E111" s="5" t="s">
        <v>147</v>
      </c>
    </row>
    <row r="112">
      <c r="A112" s="7"/>
      <c r="B112" s="6" t="s">
        <v>12</v>
      </c>
      <c r="C112" s="7">
        <f>+5.2%</f>
        <v>0.052</v>
      </c>
      <c r="D112" s="6">
        <v>185.0</v>
      </c>
      <c r="E112" s="5" t="s">
        <v>147</v>
      </c>
    </row>
    <row r="113">
      <c r="A113" s="5" t="s">
        <v>148</v>
      </c>
      <c r="B113" s="6">
        <v>2023.0</v>
      </c>
      <c r="C113" s="7">
        <f>+7.5%</f>
        <v>0.075</v>
      </c>
      <c r="D113" s="6">
        <v>22.0</v>
      </c>
      <c r="E113" s="5" t="s">
        <v>149</v>
      </c>
    </row>
    <row r="114">
      <c r="A114" s="8" t="s">
        <v>74</v>
      </c>
      <c r="B114" s="6" t="s">
        <v>9</v>
      </c>
      <c r="C114" s="7">
        <f>+6.8%</f>
        <v>0.068</v>
      </c>
      <c r="D114" s="6">
        <v>26.0</v>
      </c>
      <c r="E114" s="5" t="s">
        <v>55</v>
      </c>
    </row>
    <row r="115">
      <c r="A115" s="7"/>
      <c r="B115" s="6" t="s">
        <v>12</v>
      </c>
      <c r="C115" s="7">
        <f>+8%</f>
        <v>0.08</v>
      </c>
      <c r="D115" s="6">
        <v>32.0</v>
      </c>
      <c r="E115" s="5" t="s">
        <v>55</v>
      </c>
    </row>
    <row r="116">
      <c r="A116" s="5" t="s">
        <v>150</v>
      </c>
      <c r="B116" s="6">
        <v>2023.0</v>
      </c>
      <c r="C116" s="7">
        <f>+14%</f>
        <v>0.14</v>
      </c>
      <c r="D116" s="6" t="s">
        <v>151</v>
      </c>
      <c r="E116" s="5" t="s">
        <v>152</v>
      </c>
    </row>
    <row r="117">
      <c r="A117" s="8" t="s">
        <v>153</v>
      </c>
      <c r="B117" s="6" t="s">
        <v>9</v>
      </c>
      <c r="C117" s="7">
        <f>+10%</f>
        <v>0.1</v>
      </c>
      <c r="D117" s="6">
        <v>165.0</v>
      </c>
      <c r="E117" s="5" t="s">
        <v>19</v>
      </c>
    </row>
    <row r="118">
      <c r="A118" s="7"/>
      <c r="B118" s="6" t="s">
        <v>12</v>
      </c>
      <c r="C118" s="7">
        <f>+12%</f>
        <v>0.12</v>
      </c>
      <c r="D118" s="6">
        <v>190.0</v>
      </c>
      <c r="E118" s="5" t="s">
        <v>154</v>
      </c>
    </row>
    <row r="119">
      <c r="A119" s="5" t="s">
        <v>155</v>
      </c>
      <c r="B119" s="6">
        <v>2023.0</v>
      </c>
      <c r="C119" s="7">
        <f>+5.2%</f>
        <v>0.052</v>
      </c>
      <c r="D119" s="6">
        <v>15.0</v>
      </c>
      <c r="E119" s="5" t="s">
        <v>46</v>
      </c>
    </row>
    <row r="120">
      <c r="A120" s="8" t="s">
        <v>156</v>
      </c>
      <c r="B120" s="6" t="s">
        <v>9</v>
      </c>
      <c r="C120" s="7">
        <f>+6%</f>
        <v>0.06</v>
      </c>
      <c r="D120" s="6">
        <v>19.0</v>
      </c>
      <c r="E120" s="5" t="s">
        <v>157</v>
      </c>
    </row>
    <row r="121">
      <c r="A121" s="7"/>
      <c r="B121" s="6" t="s">
        <v>12</v>
      </c>
      <c r="C121" s="7">
        <f>+7.5%</f>
        <v>0.075</v>
      </c>
      <c r="D121" s="6">
        <v>24.0</v>
      </c>
      <c r="E121" s="5" t="s">
        <v>157</v>
      </c>
    </row>
    <row r="122">
      <c r="A122" s="5" t="s">
        <v>158</v>
      </c>
      <c r="B122" s="6">
        <v>2023.0</v>
      </c>
      <c r="C122" s="7">
        <f>+18%</f>
        <v>0.18</v>
      </c>
      <c r="D122" s="6">
        <v>160.0</v>
      </c>
      <c r="E122" s="5" t="s">
        <v>87</v>
      </c>
    </row>
    <row r="123">
      <c r="A123" s="8" t="s">
        <v>159</v>
      </c>
      <c r="B123" s="6" t="s">
        <v>9</v>
      </c>
      <c r="C123" s="7">
        <f>+12%</f>
        <v>0.12</v>
      </c>
      <c r="D123" s="6">
        <v>185.0</v>
      </c>
      <c r="E123" s="5" t="s">
        <v>19</v>
      </c>
    </row>
    <row r="124">
      <c r="A124" s="7"/>
      <c r="B124" s="6" t="s">
        <v>12</v>
      </c>
      <c r="C124" s="7">
        <f>+15%</f>
        <v>0.15</v>
      </c>
      <c r="D124" s="6">
        <v>215.0</v>
      </c>
      <c r="E124" s="5" t="s">
        <v>88</v>
      </c>
    </row>
    <row r="125">
      <c r="A125" s="5" t="s">
        <v>160</v>
      </c>
      <c r="B125" s="6">
        <v>2023.0</v>
      </c>
      <c r="C125" s="9">
        <v>-0.021</v>
      </c>
      <c r="D125" s="6">
        <v>18.0</v>
      </c>
      <c r="E125" s="5" t="s">
        <v>62</v>
      </c>
    </row>
    <row r="126">
      <c r="A126" s="8" t="s">
        <v>161</v>
      </c>
      <c r="B126" s="6" t="s">
        <v>9</v>
      </c>
      <c r="C126" s="7">
        <f>+5.5%</f>
        <v>0.055</v>
      </c>
      <c r="D126" s="6">
        <v>28.0</v>
      </c>
      <c r="E126" s="5" t="s">
        <v>66</v>
      </c>
    </row>
    <row r="127">
      <c r="A127" s="7"/>
      <c r="B127" s="6" t="s">
        <v>12</v>
      </c>
      <c r="C127" s="7">
        <f>+8%</f>
        <v>0.08</v>
      </c>
      <c r="D127" s="6">
        <v>40.0</v>
      </c>
      <c r="E127" s="5" t="s">
        <v>34</v>
      </c>
    </row>
    <row r="128">
      <c r="A128" s="5" t="s">
        <v>162</v>
      </c>
      <c r="B128" s="6">
        <v>2023.0</v>
      </c>
      <c r="C128" s="7">
        <f>+2.8%</f>
        <v>0.028</v>
      </c>
      <c r="D128" s="6">
        <v>2.0</v>
      </c>
      <c r="E128" s="5" t="s">
        <v>38</v>
      </c>
    </row>
    <row r="129">
      <c r="A129" s="8" t="s">
        <v>163</v>
      </c>
      <c r="B129" s="6" t="s">
        <v>9</v>
      </c>
      <c r="C129" s="7">
        <f>+10%</f>
        <v>0.1</v>
      </c>
      <c r="D129" s="6">
        <v>5.0</v>
      </c>
      <c r="E129" s="5" t="s">
        <v>19</v>
      </c>
    </row>
    <row r="130">
      <c r="A130" s="7"/>
      <c r="B130" s="6" t="s">
        <v>12</v>
      </c>
      <c r="C130" s="7">
        <f>+15%</f>
        <v>0.15</v>
      </c>
      <c r="D130" s="6">
        <v>9.0</v>
      </c>
      <c r="E130" s="5" t="s">
        <v>164</v>
      </c>
    </row>
    <row r="131">
      <c r="A131" s="5" t="s">
        <v>165</v>
      </c>
      <c r="B131" s="6">
        <v>2023.0</v>
      </c>
      <c r="C131" s="7">
        <f>+4.2%</f>
        <v>0.042</v>
      </c>
      <c r="D131" s="6">
        <v>85.0</v>
      </c>
      <c r="E131" s="5" t="s">
        <v>166</v>
      </c>
    </row>
    <row r="132">
      <c r="A132" s="8" t="s">
        <v>131</v>
      </c>
      <c r="B132" s="6" t="s">
        <v>9</v>
      </c>
      <c r="C132" s="7">
        <f>+4.8%</f>
        <v>0.048</v>
      </c>
      <c r="D132" s="6">
        <v>92.0</v>
      </c>
      <c r="E132" s="5" t="s">
        <v>11</v>
      </c>
    </row>
    <row r="133">
      <c r="A133" s="7"/>
      <c r="B133" s="6" t="s">
        <v>12</v>
      </c>
      <c r="C133" s="7">
        <f>+5.5%</f>
        <v>0.055</v>
      </c>
      <c r="D133" s="6">
        <v>100.0</v>
      </c>
      <c r="E133" s="5" t="s">
        <v>11</v>
      </c>
    </row>
    <row r="134">
      <c r="A134" s="5" t="s">
        <v>167</v>
      </c>
      <c r="B134" s="6">
        <v>2023.0</v>
      </c>
      <c r="C134" s="7">
        <f>+2.5%</f>
        <v>0.025</v>
      </c>
      <c r="D134" s="6">
        <v>14.0</v>
      </c>
      <c r="E134" s="5" t="s">
        <v>19</v>
      </c>
    </row>
    <row r="135">
      <c r="A135" s="8" t="s">
        <v>168</v>
      </c>
      <c r="B135" s="6" t="s">
        <v>9</v>
      </c>
      <c r="C135" s="7">
        <f>+4%</f>
        <v>0.04</v>
      </c>
      <c r="D135" s="6">
        <v>18.0</v>
      </c>
      <c r="E135" s="5" t="s">
        <v>34</v>
      </c>
    </row>
    <row r="136">
      <c r="A136" s="7"/>
      <c r="B136" s="6" t="s">
        <v>12</v>
      </c>
      <c r="C136" s="7">
        <f>+5.5%</f>
        <v>0.055</v>
      </c>
      <c r="D136" s="6">
        <v>22.0</v>
      </c>
      <c r="E136" s="5" t="s">
        <v>88</v>
      </c>
    </row>
    <row r="137">
      <c r="A137" s="5" t="s">
        <v>169</v>
      </c>
      <c r="B137" s="6">
        <v>2023.0</v>
      </c>
      <c r="C137" s="7">
        <f>+1%</f>
        <v>0.01</v>
      </c>
      <c r="D137" s="6">
        <v>5.0</v>
      </c>
      <c r="E137" s="5" t="s">
        <v>170</v>
      </c>
    </row>
    <row r="138">
      <c r="A138" s="8" t="s">
        <v>171</v>
      </c>
      <c r="B138" s="6" t="s">
        <v>9</v>
      </c>
      <c r="C138" s="7">
        <f>+2%</f>
        <v>0.02</v>
      </c>
      <c r="D138" s="6">
        <v>7.0</v>
      </c>
      <c r="E138" s="5" t="s">
        <v>34</v>
      </c>
    </row>
    <row r="139">
      <c r="A139" s="7"/>
      <c r="B139" s="6" t="s">
        <v>12</v>
      </c>
      <c r="C139" s="7">
        <f>+3%</f>
        <v>0.03</v>
      </c>
      <c r="D139" s="6">
        <v>9.0</v>
      </c>
      <c r="E139" s="5" t="s">
        <v>34</v>
      </c>
    </row>
    <row r="140">
      <c r="A140" s="5" t="s">
        <v>172</v>
      </c>
      <c r="B140" s="6">
        <v>2023.0</v>
      </c>
      <c r="C140" s="7">
        <f>+5%</f>
        <v>0.05</v>
      </c>
      <c r="D140" s="6" t="s">
        <v>173</v>
      </c>
      <c r="E140" s="5" t="s">
        <v>62</v>
      </c>
    </row>
    <row r="141">
      <c r="A141" s="8" t="s">
        <v>174</v>
      </c>
      <c r="B141" s="6" t="s">
        <v>9</v>
      </c>
      <c r="C141" s="7">
        <f>+10%</f>
        <v>0.1</v>
      </c>
      <c r="D141" s="6">
        <v>4.0</v>
      </c>
      <c r="E141" s="5" t="s">
        <v>116</v>
      </c>
    </row>
    <row r="142">
      <c r="A142" s="7"/>
      <c r="B142" s="6" t="s">
        <v>12</v>
      </c>
      <c r="C142" s="7">
        <f>+12%</f>
        <v>0.12</v>
      </c>
      <c r="D142" s="6">
        <v>10.0</v>
      </c>
      <c r="E142" s="5" t="s">
        <v>21</v>
      </c>
    </row>
    <row r="143">
      <c r="A143" s="5" t="s">
        <v>175</v>
      </c>
      <c r="B143" s="6">
        <v>2023.0</v>
      </c>
      <c r="C143" s="6" t="s">
        <v>176</v>
      </c>
      <c r="D143" s="6">
        <v>1.0</v>
      </c>
      <c r="E143" s="5" t="s">
        <v>177</v>
      </c>
    </row>
    <row r="144">
      <c r="A144" s="8" t="s">
        <v>178</v>
      </c>
      <c r="B144" s="6" t="s">
        <v>9</v>
      </c>
      <c r="C144" s="6" t="s">
        <v>176</v>
      </c>
      <c r="D144" s="6">
        <v>1.5</v>
      </c>
      <c r="E144" s="5" t="s">
        <v>27</v>
      </c>
    </row>
    <row r="145">
      <c r="A145" s="7"/>
      <c r="B145" s="6" t="s">
        <v>12</v>
      </c>
      <c r="C145" s="6" t="s">
        <v>176</v>
      </c>
      <c r="D145" s="6">
        <v>2.0</v>
      </c>
      <c r="E145" s="5" t="s">
        <v>27</v>
      </c>
    </row>
    <row r="146">
      <c r="A146" s="5" t="s">
        <v>179</v>
      </c>
      <c r="B146" s="6">
        <v>2023.0</v>
      </c>
      <c r="C146" s="7">
        <f>+1.5%</f>
        <v>0.015</v>
      </c>
      <c r="D146" s="6" t="s">
        <v>180</v>
      </c>
      <c r="E146" s="5" t="s">
        <v>181</v>
      </c>
    </row>
    <row r="147">
      <c r="A147" s="8" t="s">
        <v>182</v>
      </c>
      <c r="B147" s="6" t="s">
        <v>9</v>
      </c>
      <c r="C147" s="7">
        <f>+8%</f>
        <v>0.08</v>
      </c>
      <c r="D147" s="6">
        <v>2.0</v>
      </c>
      <c r="E147" s="5" t="s">
        <v>183</v>
      </c>
    </row>
    <row r="148">
      <c r="A148" s="7"/>
      <c r="B148" s="6" t="s">
        <v>12</v>
      </c>
      <c r="C148" s="7">
        <f>+15%</f>
        <v>0.15</v>
      </c>
      <c r="D148" s="6">
        <v>6.0</v>
      </c>
      <c r="E148" s="5" t="s">
        <v>66</v>
      </c>
    </row>
    <row r="149">
      <c r="A149" s="5" t="s">
        <v>184</v>
      </c>
      <c r="B149" s="6">
        <v>2023.0</v>
      </c>
      <c r="C149" s="7">
        <f>+18.5%</f>
        <v>0.185</v>
      </c>
      <c r="D149" s="6">
        <v>520.0</v>
      </c>
      <c r="E149" s="5" t="s">
        <v>185</v>
      </c>
    </row>
    <row r="150">
      <c r="A150" s="8" t="s">
        <v>186</v>
      </c>
      <c r="B150" s="6" t="s">
        <v>9</v>
      </c>
      <c r="C150" s="7">
        <f>+15%</f>
        <v>0.15</v>
      </c>
      <c r="D150" s="6">
        <v>580.0</v>
      </c>
      <c r="E150" s="5" t="s">
        <v>34</v>
      </c>
    </row>
    <row r="151">
      <c r="A151" s="7"/>
      <c r="B151" s="6" t="s">
        <v>12</v>
      </c>
      <c r="C151" s="7">
        <f>+14%</f>
        <v>0.14</v>
      </c>
      <c r="D151" s="6">
        <v>650.0</v>
      </c>
      <c r="E151" s="5" t="s">
        <v>80</v>
      </c>
    </row>
    <row r="152">
      <c r="A152" s="5" t="s">
        <v>187</v>
      </c>
      <c r="B152" s="6">
        <v>2023.0</v>
      </c>
      <c r="C152" s="7">
        <f>+11.8%</f>
        <v>0.118</v>
      </c>
      <c r="D152" s="6">
        <v>815.0</v>
      </c>
      <c r="E152" s="5" t="s">
        <v>188</v>
      </c>
    </row>
    <row r="153">
      <c r="A153" s="8" t="s">
        <v>189</v>
      </c>
      <c r="B153" s="6" t="s">
        <v>9</v>
      </c>
      <c r="C153" s="7">
        <f>+10.5%</f>
        <v>0.105</v>
      </c>
      <c r="D153" s="6">
        <v>940.0</v>
      </c>
      <c r="E153" s="5" t="s">
        <v>154</v>
      </c>
    </row>
    <row r="154">
      <c r="A154" s="7"/>
      <c r="B154" s="6" t="s">
        <v>12</v>
      </c>
      <c r="C154" s="7">
        <f>+12%</f>
        <v>0.12</v>
      </c>
      <c r="D154" s="6" t="s">
        <v>190</v>
      </c>
      <c r="E154" s="5" t="s">
        <v>19</v>
      </c>
    </row>
    <row r="155">
      <c r="A155" s="5" t="s">
        <v>191</v>
      </c>
      <c r="B155" s="6">
        <v>2023.0</v>
      </c>
      <c r="C155" s="7">
        <f>+4.5%</f>
        <v>0.045</v>
      </c>
      <c r="D155" s="6">
        <v>92.0</v>
      </c>
      <c r="E155" s="5" t="s">
        <v>149</v>
      </c>
    </row>
    <row r="156">
      <c r="A156" s="8" t="s">
        <v>192</v>
      </c>
      <c r="B156" s="6" t="s">
        <v>9</v>
      </c>
      <c r="C156" s="7">
        <f>+6.2%</f>
        <v>0.062</v>
      </c>
      <c r="D156" s="6">
        <v>105.0</v>
      </c>
      <c r="E156" s="5" t="s">
        <v>55</v>
      </c>
    </row>
    <row r="157">
      <c r="A157" s="7"/>
      <c r="B157" s="6" t="s">
        <v>12</v>
      </c>
      <c r="C157" s="7">
        <f>+8%</f>
        <v>0.08</v>
      </c>
      <c r="D157" s="6">
        <v>118.0</v>
      </c>
      <c r="E157" s="5" t="s">
        <v>55</v>
      </c>
    </row>
    <row r="158">
      <c r="A158" s="5" t="s">
        <v>193</v>
      </c>
      <c r="B158" s="6">
        <v>2023.0</v>
      </c>
      <c r="C158" s="9">
        <v>-0.021</v>
      </c>
      <c r="D158" s="6" t="s">
        <v>194</v>
      </c>
      <c r="E158" s="5" t="s">
        <v>62</v>
      </c>
    </row>
    <row r="159">
      <c r="A159" s="8" t="s">
        <v>195</v>
      </c>
      <c r="B159" s="6" t="s">
        <v>9</v>
      </c>
      <c r="C159" s="7">
        <f>+5%</f>
        <v>0.05</v>
      </c>
      <c r="D159" s="6">
        <v>2.0</v>
      </c>
      <c r="E159" s="5" t="s">
        <v>64</v>
      </c>
    </row>
    <row r="160">
      <c r="A160" s="7"/>
      <c r="B160" s="6" t="s">
        <v>12</v>
      </c>
      <c r="C160" s="7">
        <f>+10%</f>
        <v>0.1</v>
      </c>
      <c r="D160" s="6">
        <v>8.0</v>
      </c>
      <c r="E160" s="5" t="s">
        <v>183</v>
      </c>
    </row>
    <row r="161">
      <c r="A161" s="5" t="s">
        <v>196</v>
      </c>
      <c r="B161" s="6">
        <v>2023.0</v>
      </c>
      <c r="C161" s="7">
        <f>+1.2%</f>
        <v>0.012</v>
      </c>
      <c r="D161" s="6">
        <v>18.0</v>
      </c>
      <c r="E161" s="5" t="s">
        <v>197</v>
      </c>
    </row>
    <row r="162">
      <c r="A162" s="8" t="s">
        <v>198</v>
      </c>
      <c r="B162" s="6" t="s">
        <v>9</v>
      </c>
      <c r="C162" s="7">
        <f>+2.5%</f>
        <v>0.025</v>
      </c>
      <c r="D162" s="6">
        <v>20.0</v>
      </c>
      <c r="E162" s="5" t="s">
        <v>199</v>
      </c>
    </row>
    <row r="163">
      <c r="A163" s="7"/>
      <c r="B163" s="6" t="s">
        <v>12</v>
      </c>
      <c r="C163" s="7">
        <f>+3%</f>
        <v>0.03</v>
      </c>
      <c r="D163" s="6">
        <v>23.0</v>
      </c>
      <c r="E163" s="5" t="s">
        <v>199</v>
      </c>
    </row>
    <row r="164">
      <c r="A164" s="5" t="s">
        <v>200</v>
      </c>
      <c r="B164" s="6">
        <v>2023.0</v>
      </c>
      <c r="C164" s="7">
        <f>+12%</f>
        <v>0.12</v>
      </c>
      <c r="D164" s="6" t="s">
        <v>201</v>
      </c>
      <c r="E164" s="5" t="s">
        <v>202</v>
      </c>
    </row>
    <row r="165">
      <c r="A165" s="8" t="s">
        <v>203</v>
      </c>
      <c r="B165" s="6" t="s">
        <v>9</v>
      </c>
      <c r="C165" s="7">
        <f>+8.5%</f>
        <v>0.085</v>
      </c>
      <c r="D165" s="6">
        <v>72.0</v>
      </c>
      <c r="E165" s="5" t="s">
        <v>199</v>
      </c>
    </row>
    <row r="166">
      <c r="A166" s="7"/>
      <c r="B166" s="6" t="s">
        <v>12</v>
      </c>
      <c r="C166" s="7">
        <f>+10%</f>
        <v>0.1</v>
      </c>
      <c r="D166" s="6">
        <v>80.0</v>
      </c>
      <c r="E166" s="5" t="s">
        <v>199</v>
      </c>
    </row>
    <row r="167">
      <c r="A167" s="5" t="s">
        <v>126</v>
      </c>
      <c r="B167" s="6">
        <v>2023.0</v>
      </c>
      <c r="C167" s="7">
        <f>+3.1%</f>
        <v>0.031</v>
      </c>
      <c r="D167" s="6">
        <v>52.0</v>
      </c>
      <c r="E167" s="5" t="s">
        <v>177</v>
      </c>
    </row>
    <row r="168">
      <c r="A168" s="8" t="s">
        <v>204</v>
      </c>
      <c r="B168" s="6" t="s">
        <v>9</v>
      </c>
      <c r="C168" s="7">
        <f>+4.5%</f>
        <v>0.045</v>
      </c>
      <c r="D168" s="6">
        <v>58.0</v>
      </c>
      <c r="E168" s="5" t="s">
        <v>205</v>
      </c>
    </row>
    <row r="169">
      <c r="A169" s="7"/>
      <c r="B169" s="6" t="s">
        <v>12</v>
      </c>
      <c r="C169" s="7">
        <f>+6%</f>
        <v>0.06</v>
      </c>
      <c r="D169" s="6">
        <v>65.0</v>
      </c>
      <c r="E169" s="5" t="s">
        <v>205</v>
      </c>
    </row>
    <row r="170">
      <c r="A170" s="5" t="s">
        <v>206</v>
      </c>
      <c r="B170" s="6">
        <v>2023.0</v>
      </c>
      <c r="C170" s="7">
        <f>+1.5%</f>
        <v>0.015</v>
      </c>
      <c r="D170" s="6">
        <v>7.0</v>
      </c>
      <c r="E170" s="5" t="s">
        <v>38</v>
      </c>
    </row>
    <row r="171">
      <c r="A171" s="8" t="s">
        <v>207</v>
      </c>
      <c r="B171" s="6" t="s">
        <v>9</v>
      </c>
      <c r="C171" s="7">
        <f>+3%</f>
        <v>0.03</v>
      </c>
      <c r="D171" s="6">
        <v>8.5</v>
      </c>
      <c r="E171" s="5" t="s">
        <v>34</v>
      </c>
    </row>
    <row r="172">
      <c r="A172" s="7"/>
      <c r="B172" s="6" t="s">
        <v>12</v>
      </c>
      <c r="C172" s="7">
        <f>+4.5%</f>
        <v>0.045</v>
      </c>
      <c r="D172" s="6">
        <v>10.0</v>
      </c>
      <c r="E172" s="5" t="s">
        <v>34</v>
      </c>
    </row>
    <row r="173">
      <c r="A173" s="5" t="s">
        <v>208</v>
      </c>
      <c r="B173" s="6">
        <v>2023.0</v>
      </c>
      <c r="C173" s="7">
        <f>+9%</f>
        <v>0.09</v>
      </c>
      <c r="D173" s="6">
        <v>165.0</v>
      </c>
      <c r="E173" s="5" t="s">
        <v>31</v>
      </c>
    </row>
    <row r="174">
      <c r="A174" s="8" t="s">
        <v>209</v>
      </c>
      <c r="B174" s="6" t="s">
        <v>9</v>
      </c>
      <c r="C174" s="7">
        <f>+5.5%</f>
        <v>0.055</v>
      </c>
      <c r="D174" s="6">
        <v>175.0</v>
      </c>
      <c r="E174" s="5" t="s">
        <v>34</v>
      </c>
    </row>
    <row r="175">
      <c r="A175" s="7"/>
      <c r="B175" s="6" t="s">
        <v>12</v>
      </c>
      <c r="C175" s="7">
        <f>+7%</f>
        <v>0.07</v>
      </c>
      <c r="D175" s="6">
        <v>190.0</v>
      </c>
      <c r="E175" s="5" t="s">
        <v>19</v>
      </c>
    </row>
    <row r="176">
      <c r="A176" s="5" t="s">
        <v>210</v>
      </c>
      <c r="B176" s="6">
        <v>2023.0</v>
      </c>
      <c r="C176" s="6" t="s">
        <v>176</v>
      </c>
      <c r="D176" s="6">
        <v>4.0</v>
      </c>
      <c r="E176" s="5" t="s">
        <v>211</v>
      </c>
    </row>
    <row r="177">
      <c r="A177" s="8" t="s">
        <v>171</v>
      </c>
      <c r="B177" s="6" t="s">
        <v>9</v>
      </c>
      <c r="C177" s="6" t="s">
        <v>176</v>
      </c>
      <c r="D177" s="6">
        <v>5.0</v>
      </c>
      <c r="E177" s="5" t="s">
        <v>212</v>
      </c>
    </row>
    <row r="178">
      <c r="A178" s="7"/>
      <c r="B178" s="6" t="s">
        <v>12</v>
      </c>
      <c r="C178" s="6" t="s">
        <v>176</v>
      </c>
      <c r="D178" s="6">
        <v>6.0</v>
      </c>
      <c r="E178" s="5" t="s">
        <v>212</v>
      </c>
    </row>
    <row r="179">
      <c r="A179" s="10" t="s">
        <v>165</v>
      </c>
      <c r="B179" s="3">
        <v>2023.0</v>
      </c>
      <c r="C179" s="2" t="s">
        <v>213</v>
      </c>
      <c r="D179" s="3">
        <v>88.0</v>
      </c>
      <c r="E179" s="2" t="s">
        <v>166</v>
      </c>
    </row>
    <row r="180">
      <c r="A180" s="10" t="s">
        <v>131</v>
      </c>
      <c r="B180" s="2" t="s">
        <v>9</v>
      </c>
      <c r="C180" s="2" t="s">
        <v>214</v>
      </c>
      <c r="D180" s="3">
        <v>95.0</v>
      </c>
      <c r="E180" s="2" t="s">
        <v>11</v>
      </c>
    </row>
    <row r="181">
      <c r="A181" s="10"/>
      <c r="B181" s="2" t="s">
        <v>12</v>
      </c>
      <c r="C181" s="2" t="s">
        <v>100</v>
      </c>
      <c r="D181" s="3">
        <v>105.0</v>
      </c>
      <c r="E181" s="2" t="s">
        <v>11</v>
      </c>
    </row>
    <row r="182">
      <c r="A182" s="10" t="s">
        <v>129</v>
      </c>
      <c r="B182" s="3">
        <v>2023.0</v>
      </c>
      <c r="C182" s="2" t="s">
        <v>122</v>
      </c>
      <c r="D182" s="3">
        <v>75.0</v>
      </c>
      <c r="E182" s="2" t="s">
        <v>130</v>
      </c>
    </row>
    <row r="183">
      <c r="A183" s="10" t="s">
        <v>131</v>
      </c>
      <c r="B183" s="2" t="s">
        <v>9</v>
      </c>
      <c r="C183" s="2" t="s">
        <v>109</v>
      </c>
      <c r="D183" s="3">
        <v>82.0</v>
      </c>
      <c r="E183" s="2" t="s">
        <v>215</v>
      </c>
    </row>
    <row r="184">
      <c r="A184" s="10"/>
      <c r="B184" s="2" t="s">
        <v>12</v>
      </c>
      <c r="C184" s="2" t="s">
        <v>47</v>
      </c>
      <c r="D184" s="3">
        <v>90.0</v>
      </c>
      <c r="E184" s="2" t="s">
        <v>215</v>
      </c>
    </row>
    <row r="185">
      <c r="A185" s="10" t="s">
        <v>216</v>
      </c>
      <c r="B185" s="3">
        <v>2023.0</v>
      </c>
      <c r="C185" s="2" t="s">
        <v>26</v>
      </c>
      <c r="D185" s="3">
        <v>42.0</v>
      </c>
      <c r="E185" s="2" t="s">
        <v>31</v>
      </c>
    </row>
    <row r="186">
      <c r="A186" s="10" t="s">
        <v>217</v>
      </c>
      <c r="B186" s="2" t="s">
        <v>9</v>
      </c>
      <c r="C186" s="2" t="s">
        <v>10</v>
      </c>
      <c r="D186" s="3">
        <v>55.0</v>
      </c>
      <c r="E186" s="2" t="s">
        <v>34</v>
      </c>
    </row>
    <row r="187">
      <c r="A187" s="10"/>
      <c r="B187" s="2" t="s">
        <v>12</v>
      </c>
      <c r="C187" s="2" t="s">
        <v>57</v>
      </c>
      <c r="D187" s="3">
        <v>70.0</v>
      </c>
      <c r="E187" s="2" t="s">
        <v>113</v>
      </c>
    </row>
    <row r="188">
      <c r="A188" s="10" t="s">
        <v>175</v>
      </c>
      <c r="B188" s="3">
        <v>2023.0</v>
      </c>
      <c r="C188" s="2" t="s">
        <v>176</v>
      </c>
      <c r="D188" s="3">
        <v>1.2</v>
      </c>
      <c r="E188" s="2" t="s">
        <v>197</v>
      </c>
    </row>
    <row r="189">
      <c r="A189" s="10" t="s">
        <v>218</v>
      </c>
      <c r="B189" s="2" t="s">
        <v>9</v>
      </c>
      <c r="C189" s="2" t="s">
        <v>176</v>
      </c>
      <c r="D189" s="3">
        <v>1.5</v>
      </c>
      <c r="E189" s="2" t="s">
        <v>219</v>
      </c>
    </row>
    <row r="190">
      <c r="A190" s="10"/>
      <c r="B190" s="2" t="s">
        <v>12</v>
      </c>
      <c r="C190" s="2" t="s">
        <v>176</v>
      </c>
      <c r="D190" s="3">
        <v>2.0</v>
      </c>
      <c r="E190" s="2" t="s">
        <v>219</v>
      </c>
    </row>
    <row r="191">
      <c r="A191" s="10" t="s">
        <v>220</v>
      </c>
      <c r="B191" s="3">
        <v>2023.0</v>
      </c>
      <c r="C191" s="4">
        <v>-0.022</v>
      </c>
      <c r="D191" s="2" t="s">
        <v>173</v>
      </c>
      <c r="E191" s="2" t="s">
        <v>62</v>
      </c>
    </row>
    <row r="192">
      <c r="A192" s="10" t="s">
        <v>221</v>
      </c>
      <c r="B192" s="2" t="s">
        <v>9</v>
      </c>
      <c r="C192" s="2" t="s">
        <v>35</v>
      </c>
      <c r="D192" s="3">
        <v>3.0</v>
      </c>
      <c r="E192" s="2" t="s">
        <v>64</v>
      </c>
    </row>
    <row r="193">
      <c r="A193" s="10"/>
      <c r="B193" s="2" t="s">
        <v>12</v>
      </c>
      <c r="C193" s="2" t="s">
        <v>222</v>
      </c>
      <c r="D193" s="3">
        <v>15.0</v>
      </c>
      <c r="E193" s="2" t="s">
        <v>183</v>
      </c>
    </row>
    <row r="194">
      <c r="A194" s="5" t="s">
        <v>191</v>
      </c>
      <c r="B194" s="6">
        <v>2023.0</v>
      </c>
      <c r="C194" s="7">
        <f>+4.8%</f>
        <v>0.048</v>
      </c>
      <c r="D194" s="6">
        <v>95.0</v>
      </c>
      <c r="E194" s="5" t="s">
        <v>149</v>
      </c>
    </row>
    <row r="195">
      <c r="A195" s="8" t="s">
        <v>74</v>
      </c>
      <c r="B195" s="6" t="s">
        <v>9</v>
      </c>
      <c r="C195" s="7">
        <f>+7%</f>
        <v>0.07</v>
      </c>
      <c r="D195" s="6">
        <v>108.0</v>
      </c>
      <c r="E195" s="5" t="s">
        <v>55</v>
      </c>
    </row>
    <row r="196">
      <c r="A196" s="7"/>
      <c r="B196" s="6" t="s">
        <v>12</v>
      </c>
      <c r="C196" s="7">
        <f>+8.5%</f>
        <v>0.085</v>
      </c>
      <c r="D196" s="6">
        <v>125.0</v>
      </c>
      <c r="E196" s="5" t="s">
        <v>55</v>
      </c>
    </row>
    <row r="197">
      <c r="A197" s="5" t="s">
        <v>223</v>
      </c>
      <c r="B197" s="6">
        <v>2023.0</v>
      </c>
      <c r="C197" s="7">
        <f>+6.2%</f>
        <v>0.062</v>
      </c>
      <c r="D197" s="6">
        <v>24.0</v>
      </c>
      <c r="E197" s="5" t="s">
        <v>27</v>
      </c>
    </row>
    <row r="198">
      <c r="A198" s="8" t="s">
        <v>224</v>
      </c>
      <c r="B198" s="6" t="s">
        <v>9</v>
      </c>
      <c r="C198" s="7">
        <f>+7.5%</f>
        <v>0.075</v>
      </c>
      <c r="D198" s="6">
        <v>29.0</v>
      </c>
      <c r="E198" s="5" t="s">
        <v>88</v>
      </c>
    </row>
    <row r="199">
      <c r="A199" s="7"/>
      <c r="B199" s="6" t="s">
        <v>12</v>
      </c>
      <c r="C199" s="7">
        <f>+9%</f>
        <v>0.09</v>
      </c>
      <c r="D199" s="6">
        <v>35.0</v>
      </c>
      <c r="E199" s="5" t="s">
        <v>88</v>
      </c>
    </row>
    <row r="200">
      <c r="A200" s="5" t="s">
        <v>196</v>
      </c>
      <c r="B200" s="6">
        <v>2023.0</v>
      </c>
      <c r="C200" s="7">
        <f>+1.5%</f>
        <v>0.015</v>
      </c>
      <c r="D200" s="6">
        <v>19.0</v>
      </c>
      <c r="E200" s="5" t="s">
        <v>197</v>
      </c>
    </row>
    <row r="201">
      <c r="A201" s="8" t="s">
        <v>51</v>
      </c>
      <c r="B201" s="6" t="s">
        <v>9</v>
      </c>
      <c r="C201" s="7">
        <f>+2%</f>
        <v>0.02</v>
      </c>
      <c r="D201" s="6">
        <v>21.0</v>
      </c>
      <c r="E201" s="5" t="s">
        <v>225</v>
      </c>
    </row>
    <row r="202">
      <c r="A202" s="7"/>
      <c r="B202" s="6" t="s">
        <v>12</v>
      </c>
      <c r="C202" s="7">
        <f>+2.5%</f>
        <v>0.025</v>
      </c>
      <c r="D202" s="6">
        <v>23.0</v>
      </c>
      <c r="E202" s="5" t="s">
        <v>225</v>
      </c>
    </row>
    <row r="203">
      <c r="A203" s="5" t="s">
        <v>226</v>
      </c>
      <c r="B203" s="6">
        <v>2023.0</v>
      </c>
      <c r="C203" s="7">
        <f>+3.9%</f>
        <v>0.039</v>
      </c>
      <c r="D203" s="6">
        <v>72.0</v>
      </c>
      <c r="E203" s="5" t="s">
        <v>38</v>
      </c>
    </row>
    <row r="204">
      <c r="A204" s="8" t="s">
        <v>227</v>
      </c>
      <c r="B204" s="6" t="s">
        <v>9</v>
      </c>
      <c r="C204" s="7">
        <f>+5.5%</f>
        <v>0.055</v>
      </c>
      <c r="D204" s="6">
        <v>80.0</v>
      </c>
      <c r="E204" s="5" t="s">
        <v>34</v>
      </c>
    </row>
    <row r="205">
      <c r="A205" s="7"/>
      <c r="B205" s="6" t="s">
        <v>12</v>
      </c>
      <c r="C205" s="7">
        <f>+6.2%</f>
        <v>0.062</v>
      </c>
      <c r="D205" s="6">
        <v>88.0</v>
      </c>
      <c r="E205" s="5" t="s">
        <v>34</v>
      </c>
    </row>
    <row r="206">
      <c r="A206" s="5" t="s">
        <v>175</v>
      </c>
      <c r="B206" s="6">
        <v>2023.0</v>
      </c>
      <c r="C206" s="6" t="s">
        <v>176</v>
      </c>
      <c r="D206" s="6">
        <v>1.4</v>
      </c>
      <c r="E206" s="5" t="s">
        <v>212</v>
      </c>
    </row>
    <row r="207">
      <c r="A207" s="8" t="s">
        <v>171</v>
      </c>
      <c r="B207" s="6" t="s">
        <v>9</v>
      </c>
      <c r="C207" s="6" t="s">
        <v>176</v>
      </c>
      <c r="D207" s="6">
        <v>1.6</v>
      </c>
      <c r="E207" s="5" t="s">
        <v>219</v>
      </c>
    </row>
    <row r="208">
      <c r="A208" s="7"/>
      <c r="B208" s="6" t="s">
        <v>12</v>
      </c>
      <c r="C208" s="6" t="s">
        <v>176</v>
      </c>
      <c r="D208" s="6">
        <v>1.9</v>
      </c>
      <c r="E208" s="5" t="s">
        <v>219</v>
      </c>
    </row>
  </sheetData>
  <drawing r:id="rId1"/>
</worksheet>
</file>